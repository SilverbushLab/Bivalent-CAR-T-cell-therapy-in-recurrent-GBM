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fr/PennNeurosurgery Dropbox/Nelson Freeburg/SilverbushLab/Projects/bicistronic_carT_gbm/code upload to github/Fig S4 tumor tissue Trip/resources/"/>
    </mc:Choice>
  </mc:AlternateContent>
  <xr:revisionPtr revIDLastSave="0" documentId="13_ncr:1_{5A6A6580-C396-174B-A7F7-523EE0BCF9D9}" xr6:coauthVersionLast="47" xr6:coauthVersionMax="47" xr10:uidLastSave="{00000000-0000-0000-0000-000000000000}"/>
  <bookViews>
    <workbookView xWindow="1300" yWindow="2120" windowWidth="33480" windowHeight="11220" xr2:uid="{CB04A907-499D-A24B-A5B6-9E128D3DE933}"/>
  </bookViews>
  <sheets>
    <sheet name="main_sheet" sheetId="1" r:id="rId1"/>
    <sheet name="unused_blocks" sheetId="2" r:id="rId2"/>
  </sheets>
  <definedNames>
    <definedName name="_xlnm.Print_Area" localSheetId="0">main_sheet!#REF!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7" i="1"/>
  <c r="A8" i="1"/>
  <c r="A9" i="1"/>
  <c r="A4" i="1"/>
  <c r="A5" i="1"/>
  <c r="A6" i="1"/>
  <c r="A10" i="1"/>
  <c r="A11" i="1"/>
  <c r="A12" i="1"/>
  <c r="A13" i="1"/>
  <c r="A14" i="1"/>
  <c r="A2" i="1"/>
  <c r="J2" i="2"/>
  <c r="J3" i="2"/>
  <c r="J4" i="2"/>
</calcChain>
</file>

<file path=xl/sharedStrings.xml><?xml version="1.0" encoding="utf-8"?>
<sst xmlns="http://schemas.openxmlformats.org/spreadsheetml/2006/main" count="120" uniqueCount="57">
  <si>
    <t>7437 A-2</t>
  </si>
  <si>
    <t>Block</t>
  </si>
  <si>
    <t>All Bad. Maybe one piece with malig cells (Maclean Blue). John Circles annotated piece in black</t>
  </si>
  <si>
    <t>My Notes</t>
  </si>
  <si>
    <t>Blue and black are same piece from two identical sections</t>
  </si>
  <si>
    <t>Patient</t>
  </si>
  <si>
    <t>Timepoint</t>
  </si>
  <si>
    <t>No further notes</t>
  </si>
  <si>
    <t>32068 A-3</t>
  </si>
  <si>
    <t>Take 3 small as heavy tumor. 1 large  as imfiltrative</t>
  </si>
  <si>
    <t>Well-annotated. Take 3 midsized co-locaetd regions as tumor core. Separate large as infiltrative</t>
  </si>
  <si>
    <t>NA</t>
  </si>
  <si>
    <t>Num Regions available</t>
  </si>
  <si>
    <t>Region to take</t>
  </si>
  <si>
    <t>3 co-located</t>
  </si>
  <si>
    <t>Done?</t>
  </si>
  <si>
    <t>Sections per slide</t>
  </si>
  <si>
    <t>Slides Needed</t>
  </si>
  <si>
    <t>N</t>
  </si>
  <si>
    <t>28898 B-2</t>
  </si>
  <si>
    <t>Combine tiny pieces -&gt; 1 tube</t>
  </si>
  <si>
    <t>Notes transcribed from John/Maclean</t>
  </si>
  <si>
    <t>RNA yield per mm^2</t>
  </si>
  <si>
    <t>Sections Requested</t>
  </si>
  <si>
    <t>RNA yield Total (ng)</t>
  </si>
  <si>
    <t>Total Area Cut (mm^2)</t>
  </si>
  <si>
    <t>On Deck (2)</t>
  </si>
  <si>
    <t>P16</t>
  </si>
  <si>
    <t>Patient Formal</t>
  </si>
  <si>
    <t>16321-47</t>
  </si>
  <si>
    <t>Post</t>
  </si>
  <si>
    <t>16321-04</t>
  </si>
  <si>
    <t>Pre</t>
  </si>
  <si>
    <t>16321-10</t>
  </si>
  <si>
    <t>16321-28</t>
  </si>
  <si>
    <t>16321-52</t>
  </si>
  <si>
    <t>P13</t>
  </si>
  <si>
    <t>16321-55</t>
  </si>
  <si>
    <t>P14</t>
  </si>
  <si>
    <t>P04</t>
  </si>
  <si>
    <t>P07</t>
  </si>
  <si>
    <t>P01</t>
  </si>
  <si>
    <t>Priority</t>
  </si>
  <si>
    <t>Needed Back</t>
  </si>
  <si>
    <t>Later</t>
  </si>
  <si>
    <t>ASAP</t>
  </si>
  <si>
    <t>None</t>
  </si>
  <si>
    <t>Replicate</t>
  </si>
  <si>
    <t>Batch</t>
  </si>
  <si>
    <t>sample_name</t>
  </si>
  <si>
    <t>Response_status</t>
  </si>
  <si>
    <t>DoseClass</t>
  </si>
  <si>
    <t>High</t>
  </si>
  <si>
    <t>Low</t>
  </si>
  <si>
    <t>Nonresponder</t>
  </si>
  <si>
    <t>Responder</t>
  </si>
  <si>
    <t>Patient Bagley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</si>
</sst>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DF0E-C132-354F-B8C1-ACCED63C98C0}">
  <sheetPr>
    <pageSetUpPr fitToPage="1"/>
  </sheetPr>
  <dimension ref="A1:H14"/>
  <sheetViews>
    <sheetView tabSelected="1" workbookViewId="0">
      <selection activeCell="F2" sqref="F2"/>
    </sheetView>
  </sheetViews>
  <sheetFormatPr baseColWidth="10" defaultRowHeight="16" x14ac:dyDescent="0.2"/>
  <cols>
    <col min="1" max="1" width="12.33203125" bestFit="1" customWidth="1"/>
    <col min="5" max="6" width="13.33203125" customWidth="1"/>
    <col min="7" max="7" width="14.83203125" bestFit="1" customWidth="1"/>
  </cols>
  <sheetData>
    <row r="1" spans="1:8" x14ac:dyDescent="0.2">
      <c r="A1" t="s">
        <v>49</v>
      </c>
      <c r="B1" t="s">
        <v>5</v>
      </c>
      <c r="C1" t="s">
        <v>6</v>
      </c>
      <c r="D1" t="s">
        <v>47</v>
      </c>
      <c r="E1" t="s">
        <v>48</v>
      </c>
      <c r="F1" t="s">
        <v>56</v>
      </c>
      <c r="G1" t="s">
        <v>50</v>
      </c>
      <c r="H1" t="s">
        <v>51</v>
      </c>
    </row>
    <row r="2" spans="1:8" x14ac:dyDescent="0.2">
      <c r="A2" t="str">
        <f t="shared" ref="A2:A14" si="0">_xlfn.CONCAT(B2,"_",C2,"_",D2)</f>
        <v>P01_Pre_1</v>
      </c>
      <c r="B2" t="s">
        <v>41</v>
      </c>
      <c r="C2" t="s">
        <v>32</v>
      </c>
      <c r="D2">
        <v>1</v>
      </c>
      <c r="E2">
        <v>0</v>
      </c>
      <c r="F2" t="s">
        <v>31</v>
      </c>
      <c r="G2" t="s">
        <v>54</v>
      </c>
      <c r="H2" t="s">
        <v>52</v>
      </c>
    </row>
    <row r="3" spans="1:8" x14ac:dyDescent="0.2">
      <c r="A3" t="str">
        <f t="shared" si="0"/>
        <v>P01_Pre_2</v>
      </c>
      <c r="B3" t="s">
        <v>41</v>
      </c>
      <c r="C3" t="s">
        <v>32</v>
      </c>
      <c r="D3">
        <v>2</v>
      </c>
      <c r="E3">
        <v>0</v>
      </c>
      <c r="F3" t="s">
        <v>31</v>
      </c>
      <c r="G3" t="s">
        <v>54</v>
      </c>
      <c r="H3" t="s">
        <v>52</v>
      </c>
    </row>
    <row r="4" spans="1:8" x14ac:dyDescent="0.2">
      <c r="A4" t="str">
        <f t="shared" si="0"/>
        <v>P01_Post_1</v>
      </c>
      <c r="B4" t="s">
        <v>41</v>
      </c>
      <c r="C4" t="s">
        <v>30</v>
      </c>
      <c r="D4">
        <v>1</v>
      </c>
      <c r="E4">
        <v>2</v>
      </c>
      <c r="F4" t="s">
        <v>31</v>
      </c>
      <c r="G4" t="s">
        <v>54</v>
      </c>
      <c r="H4" t="s">
        <v>52</v>
      </c>
    </row>
    <row r="5" spans="1:8" x14ac:dyDescent="0.2">
      <c r="A5" t="str">
        <f t="shared" si="0"/>
        <v>P04_Pre_1</v>
      </c>
      <c r="B5" t="s">
        <v>39</v>
      </c>
      <c r="C5" t="s">
        <v>32</v>
      </c>
      <c r="D5">
        <v>1</v>
      </c>
      <c r="E5">
        <v>2</v>
      </c>
      <c r="F5" t="s">
        <v>33</v>
      </c>
      <c r="G5" t="s">
        <v>55</v>
      </c>
      <c r="H5" t="s">
        <v>52</v>
      </c>
    </row>
    <row r="6" spans="1:8" x14ac:dyDescent="0.2">
      <c r="A6" t="str">
        <f t="shared" si="0"/>
        <v>P04_Post_1</v>
      </c>
      <c r="B6" t="s">
        <v>39</v>
      </c>
      <c r="C6" t="s">
        <v>30</v>
      </c>
      <c r="D6">
        <v>1</v>
      </c>
      <c r="E6">
        <v>2</v>
      </c>
      <c r="F6" t="s">
        <v>33</v>
      </c>
      <c r="G6" t="s">
        <v>55</v>
      </c>
      <c r="H6" t="s">
        <v>52</v>
      </c>
    </row>
    <row r="7" spans="1:8" x14ac:dyDescent="0.2">
      <c r="A7" t="str">
        <f t="shared" si="0"/>
        <v>P07_Pre_1</v>
      </c>
      <c r="B7" t="s">
        <v>40</v>
      </c>
      <c r="C7" t="s">
        <v>32</v>
      </c>
      <c r="D7">
        <v>1</v>
      </c>
      <c r="E7">
        <v>1</v>
      </c>
      <c r="F7" t="s">
        <v>34</v>
      </c>
      <c r="G7" t="s">
        <v>55</v>
      </c>
      <c r="H7" t="s">
        <v>52</v>
      </c>
    </row>
    <row r="8" spans="1:8" x14ac:dyDescent="0.2">
      <c r="A8" t="str">
        <f t="shared" si="0"/>
        <v>P07_Post_1</v>
      </c>
      <c r="B8" t="s">
        <v>40</v>
      </c>
      <c r="C8" t="s">
        <v>30</v>
      </c>
      <c r="D8">
        <v>1</v>
      </c>
      <c r="E8">
        <v>1</v>
      </c>
      <c r="F8" t="s">
        <v>34</v>
      </c>
      <c r="G8" t="s">
        <v>55</v>
      </c>
      <c r="H8" t="s">
        <v>52</v>
      </c>
    </row>
    <row r="9" spans="1:8" x14ac:dyDescent="0.2">
      <c r="A9" t="str">
        <f t="shared" si="0"/>
        <v>P13_Pre_1</v>
      </c>
      <c r="B9" t="s">
        <v>36</v>
      </c>
      <c r="C9" t="s">
        <v>32</v>
      </c>
      <c r="D9">
        <v>1</v>
      </c>
      <c r="E9">
        <v>1</v>
      </c>
      <c r="F9" t="s">
        <v>35</v>
      </c>
      <c r="G9" t="s">
        <v>55</v>
      </c>
      <c r="H9" t="s">
        <v>52</v>
      </c>
    </row>
    <row r="10" spans="1:8" x14ac:dyDescent="0.2">
      <c r="A10" t="str">
        <f t="shared" si="0"/>
        <v>P13_Post_1</v>
      </c>
      <c r="B10" t="s">
        <v>36</v>
      </c>
      <c r="C10" t="s">
        <v>30</v>
      </c>
      <c r="D10">
        <v>1</v>
      </c>
      <c r="E10">
        <v>2</v>
      </c>
      <c r="F10" t="s">
        <v>35</v>
      </c>
      <c r="G10" t="s">
        <v>55</v>
      </c>
      <c r="H10" t="s">
        <v>52</v>
      </c>
    </row>
    <row r="11" spans="1:8" x14ac:dyDescent="0.2">
      <c r="A11" t="str">
        <f t="shared" si="0"/>
        <v>P14_Pre_1</v>
      </c>
      <c r="B11" t="s">
        <v>38</v>
      </c>
      <c r="C11" t="s">
        <v>32</v>
      </c>
      <c r="D11">
        <v>1</v>
      </c>
      <c r="E11">
        <v>3</v>
      </c>
      <c r="F11" t="s">
        <v>37</v>
      </c>
      <c r="G11" t="s">
        <v>54</v>
      </c>
      <c r="H11" t="s">
        <v>53</v>
      </c>
    </row>
    <row r="12" spans="1:8" x14ac:dyDescent="0.2">
      <c r="A12" t="str">
        <f t="shared" si="0"/>
        <v>P14_Post_1</v>
      </c>
      <c r="B12" t="s">
        <v>38</v>
      </c>
      <c r="C12" t="s">
        <v>30</v>
      </c>
      <c r="D12">
        <v>1</v>
      </c>
      <c r="E12">
        <v>3</v>
      </c>
      <c r="F12" t="s">
        <v>37</v>
      </c>
      <c r="G12" t="s">
        <v>54</v>
      </c>
      <c r="H12" t="s">
        <v>53</v>
      </c>
    </row>
    <row r="13" spans="1:8" x14ac:dyDescent="0.2">
      <c r="A13" t="str">
        <f t="shared" si="0"/>
        <v>P16_Pre_1</v>
      </c>
      <c r="B13" t="s">
        <v>27</v>
      </c>
      <c r="C13" t="s">
        <v>32</v>
      </c>
      <c r="D13">
        <v>1</v>
      </c>
      <c r="E13">
        <v>3</v>
      </c>
      <c r="F13" t="s">
        <v>29</v>
      </c>
      <c r="G13" t="s">
        <v>55</v>
      </c>
      <c r="H13" t="s">
        <v>53</v>
      </c>
    </row>
    <row r="14" spans="1:8" x14ac:dyDescent="0.2">
      <c r="A14" t="str">
        <f t="shared" si="0"/>
        <v>P16_Post_1</v>
      </c>
      <c r="B14" t="s">
        <v>27</v>
      </c>
      <c r="C14" t="s">
        <v>30</v>
      </c>
      <c r="D14">
        <v>1</v>
      </c>
      <c r="E14">
        <v>3</v>
      </c>
      <c r="F14" t="s">
        <v>29</v>
      </c>
      <c r="G14" t="s">
        <v>55</v>
      </c>
      <c r="H14" t="s">
        <v>53</v>
      </c>
    </row>
  </sheetData>
  <sortState xmlns:xlrd2="http://schemas.microsoft.com/office/spreadsheetml/2017/richdata2" ref="A2:H14">
    <sortCondition ref="B2:B14"/>
    <sortCondition descending="1" ref="C2:C14"/>
    <sortCondition ref="D2:D14"/>
  </sortState>
  <pageMargins left="0.7" right="0.7" top="0.75" bottom="0.75" header="0.3" footer="0.3"/>
  <pageSetup scale="2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52B2-73E0-9648-A412-74A11152A5D4}">
  <dimension ref="A1:Q4"/>
  <sheetViews>
    <sheetView workbookViewId="0">
      <selection sqref="A1:D4"/>
    </sheetView>
  </sheetViews>
  <sheetFormatPr baseColWidth="10" defaultRowHeight="16" x14ac:dyDescent="0.2"/>
  <cols>
    <col min="6" max="6" width="12.5" bestFit="1" customWidth="1"/>
    <col min="16" max="16" width="79.1640625" bestFit="1" customWidth="1"/>
  </cols>
  <sheetData>
    <row r="1" spans="1:17" x14ac:dyDescent="0.2">
      <c r="A1" t="s">
        <v>1</v>
      </c>
      <c r="B1" t="s">
        <v>28</v>
      </c>
      <c r="C1" t="s">
        <v>5</v>
      </c>
      <c r="D1" t="s">
        <v>6</v>
      </c>
      <c r="E1" t="s">
        <v>12</v>
      </c>
      <c r="F1" t="s">
        <v>13</v>
      </c>
      <c r="G1" t="s">
        <v>15</v>
      </c>
      <c r="H1" t="s">
        <v>16</v>
      </c>
      <c r="I1" t="s">
        <v>23</v>
      </c>
      <c r="J1" t="s">
        <v>17</v>
      </c>
      <c r="K1" t="s">
        <v>43</v>
      </c>
      <c r="L1" t="s">
        <v>42</v>
      </c>
      <c r="M1" t="s">
        <v>25</v>
      </c>
      <c r="N1" t="s">
        <v>24</v>
      </c>
      <c r="O1" t="s">
        <v>22</v>
      </c>
      <c r="P1" t="s">
        <v>21</v>
      </c>
      <c r="Q1" t="s">
        <v>3</v>
      </c>
    </row>
    <row r="2" spans="1:17" x14ac:dyDescent="0.2">
      <c r="A2" t="s">
        <v>19</v>
      </c>
      <c r="B2" t="s">
        <v>34</v>
      </c>
      <c r="C2" t="s">
        <v>40</v>
      </c>
      <c r="D2" t="s">
        <v>30</v>
      </c>
      <c r="E2">
        <v>1</v>
      </c>
      <c r="F2" t="s">
        <v>11</v>
      </c>
      <c r="G2" t="s">
        <v>26</v>
      </c>
      <c r="H2">
        <v>2</v>
      </c>
      <c r="I2">
        <v>4</v>
      </c>
      <c r="J2">
        <f>I2/H2</f>
        <v>2</v>
      </c>
      <c r="K2" t="s">
        <v>45</v>
      </c>
      <c r="L2" t="s">
        <v>46</v>
      </c>
      <c r="P2" t="s">
        <v>20</v>
      </c>
      <c r="Q2" t="s">
        <v>7</v>
      </c>
    </row>
    <row r="3" spans="1:17" x14ac:dyDescent="0.2">
      <c r="A3" t="s">
        <v>8</v>
      </c>
      <c r="B3" t="s">
        <v>35</v>
      </c>
      <c r="C3" t="s">
        <v>36</v>
      </c>
      <c r="D3" t="s">
        <v>32</v>
      </c>
      <c r="E3">
        <v>2</v>
      </c>
      <c r="F3" t="s">
        <v>14</v>
      </c>
      <c r="G3" t="s">
        <v>26</v>
      </c>
      <c r="H3">
        <v>2</v>
      </c>
      <c r="I3">
        <v>4</v>
      </c>
      <c r="J3">
        <f>I3/H3</f>
        <v>2</v>
      </c>
      <c r="K3" t="s">
        <v>45</v>
      </c>
      <c r="L3" t="s">
        <v>46</v>
      </c>
      <c r="P3" t="s">
        <v>9</v>
      </c>
      <c r="Q3" t="s">
        <v>10</v>
      </c>
    </row>
    <row r="4" spans="1:17" x14ac:dyDescent="0.2">
      <c r="A4" t="s">
        <v>0</v>
      </c>
      <c r="B4" t="s">
        <v>29</v>
      </c>
      <c r="C4" t="s">
        <v>27</v>
      </c>
      <c r="D4" t="s">
        <v>30</v>
      </c>
      <c r="E4">
        <v>1</v>
      </c>
      <c r="F4" t="s">
        <v>11</v>
      </c>
      <c r="G4" t="s">
        <v>18</v>
      </c>
      <c r="H4">
        <v>2</v>
      </c>
      <c r="I4">
        <v>8</v>
      </c>
      <c r="J4">
        <f>I4/H4</f>
        <v>4</v>
      </c>
      <c r="K4" t="s">
        <v>44</v>
      </c>
      <c r="L4" t="s">
        <v>46</v>
      </c>
      <c r="P4" t="s">
        <v>2</v>
      </c>
      <c r="Q4" t="s">
        <v>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main_sheet</vt:lpstr>
      <vt:lpstr>unused_blocks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Freeburg, Nelson</dc:creator>
  <cp:lastModifiedBy>Freeburg, Nelson</cp:lastModifiedBy>
  <cp:lastPrinted>2025-11-20T22:09:55Z</cp:lastPrinted>
  <dcterms:created xsi:type="dcterms:W3CDTF">2025-11-08T01:00:34Z</dcterms:created>
  <dcterms:modified xsi:type="dcterms:W3CDTF">2026-02-20T22:01:33Z</dcterms:modified>
</cp:coreProperties>
</file>